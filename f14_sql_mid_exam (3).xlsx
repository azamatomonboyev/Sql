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99897\Downloads\Telegram Desktop\"/>
    </mc:Choice>
  </mc:AlternateContent>
  <xr:revisionPtr revIDLastSave="0" documentId="13_ncr:1_{00F92AB2-324D-47CF-97EF-77EFFF283AF1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L8" i="1" s="1"/>
  <c r="I9" i="1"/>
  <c r="I10" i="1"/>
  <c r="I11" i="1"/>
  <c r="I12" i="1"/>
  <c r="I13" i="1"/>
  <c r="L13" i="1" s="1"/>
  <c r="I14" i="1"/>
  <c r="I15" i="1"/>
  <c r="L15" i="1" s="1"/>
  <c r="I16" i="1"/>
  <c r="I17" i="1"/>
  <c r="I18" i="1"/>
  <c r="I19" i="1"/>
  <c r="I4" i="1"/>
  <c r="L5" i="1"/>
  <c r="G10" i="1"/>
  <c r="L10" i="1" s="1"/>
  <c r="G5" i="1"/>
  <c r="G6" i="1"/>
  <c r="L6" i="1" s="1"/>
  <c r="G7" i="1"/>
  <c r="L7" i="1" s="1"/>
  <c r="G8" i="1"/>
  <c r="G9" i="1"/>
  <c r="L9" i="1" s="1"/>
  <c r="G11" i="1"/>
  <c r="G12" i="1"/>
  <c r="G13" i="1"/>
  <c r="G14" i="1"/>
  <c r="G15" i="1"/>
  <c r="G16" i="1"/>
  <c r="G17" i="1"/>
  <c r="L17" i="1" s="1"/>
  <c r="G18" i="1"/>
  <c r="G19" i="1"/>
  <c r="G4" i="1"/>
  <c r="L4" i="1"/>
  <c r="L19" i="1" l="1"/>
  <c r="L16" i="1"/>
  <c r="L12" i="1"/>
  <c r="L18" i="1"/>
  <c r="L11" i="1"/>
  <c r="L14" i="1"/>
</calcChain>
</file>

<file path=xl/sharedStrings.xml><?xml version="1.0" encoding="utf-8"?>
<sst xmlns="http://schemas.openxmlformats.org/spreadsheetml/2006/main" count="42" uniqueCount="41">
  <si>
    <t>Karimberdiyeva</t>
  </si>
  <si>
    <t>Muhlisa</t>
  </si>
  <si>
    <t>Usmanjanov</t>
  </si>
  <si>
    <t>Azizbek</t>
  </si>
  <si>
    <t>Akbarova</t>
  </si>
  <si>
    <t>Madina</t>
  </si>
  <si>
    <t>Abdurahmonova</t>
  </si>
  <si>
    <t>Munisa</t>
  </si>
  <si>
    <t>Bekchanova</t>
  </si>
  <si>
    <t>Intizor</t>
  </si>
  <si>
    <t>Mirahmedova</t>
  </si>
  <si>
    <t>Inobat</t>
  </si>
  <si>
    <t>G'afforov</t>
  </si>
  <si>
    <t>Samandar</t>
  </si>
  <si>
    <t>Murodov</t>
  </si>
  <si>
    <t>Muhammadjon</t>
  </si>
  <si>
    <t>Fayzullayev</t>
  </si>
  <si>
    <t>Nodir</t>
  </si>
  <si>
    <t>Ashuraliyeva</t>
  </si>
  <si>
    <t>Nabokhat</t>
  </si>
  <si>
    <t>Nazarmatov</t>
  </si>
  <si>
    <t>Najmiddin</t>
  </si>
  <si>
    <t>Himam-Xasanov</t>
  </si>
  <si>
    <t>Murod</t>
  </si>
  <si>
    <t>ShoAnvarov</t>
  </si>
  <si>
    <t>Abbos</t>
  </si>
  <si>
    <t>Abdurahimov</t>
  </si>
  <si>
    <t>Muhammadbotir</t>
  </si>
  <si>
    <t>Akaboyev</t>
  </si>
  <si>
    <t>Akbarshoh</t>
  </si>
  <si>
    <t>Yuldasheva</t>
  </si>
  <si>
    <t>Oygul</t>
  </si>
  <si>
    <t>Full Name</t>
  </si>
  <si>
    <t>Test(questions: 15, max score:40)</t>
  </si>
  <si>
    <t>Total correct answer</t>
  </si>
  <si>
    <t>total test score</t>
  </si>
  <si>
    <t xml:space="preserve">Puzzle ( puzzles: 4, max score 40) </t>
  </si>
  <si>
    <t>total puzzle score</t>
  </si>
  <si>
    <t>Attendance</t>
  </si>
  <si>
    <t>Homework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</si>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</sst>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omic Sans MS"/>
      <family val="4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/>
    <xf numFmtId="0" fontId="0" fillId="0" borderId="4" xfId="0" applyBorder="1"/>
    <xf numFmtId="0" fontId="0" fillId="0" borderId="10" xfId="0" applyBorder="1"/>
    <xf numFmtId="0" fontId="4" fillId="0" borderId="2" xfId="0" applyFont="1" applyBorder="1" applyAlignment="1">
      <alignment horizontal="right" wrapText="1"/>
    </xf>
    <xf numFmtId="0" fontId="3" fillId="3" borderId="2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5" fillId="5" borderId="2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L19"/>
  <sheetViews>
    <sheetView tabSelected="1" workbookViewId="0">
      <selection activeCell="L14" sqref="L14"/>
    </sheetView>
  </sheetViews>
  <sheetFormatPr defaultRowHeight="15" x14ac:dyDescent="0.25"/>
  <cols>
    <col min="4" max="4" width="19.28515625" customWidth="1"/>
    <col min="5" max="5" width="20.85546875" customWidth="1"/>
    <col min="6" max="6" width="19.140625" bestFit="1" customWidth="1"/>
    <col min="7" max="7" width="16" customWidth="1"/>
    <col min="8" max="8" width="19.140625" bestFit="1" customWidth="1"/>
    <col min="9" max="9" width="17" customWidth="1"/>
    <col min="10" max="10" width="17.140625" customWidth="1"/>
    <col min="11" max="11" width="17.7109375" customWidth="1"/>
    <col min="12" max="12" width="15.7109375" customWidth="1"/>
  </cols>
  <sheetData>
    <row r="2" spans="4:12" x14ac:dyDescent="0.25">
      <c r="D2" s="16"/>
      <c r="E2" s="17"/>
      <c r="F2" s="16" t="s">
        <v>33</v>
      </c>
      <c r="G2" s="17"/>
      <c r="H2" s="16" t="s">
        <v>36</v>
      </c>
      <c r="I2" s="17"/>
      <c r="J2" s="16"/>
      <c r="K2" s="17"/>
      <c r="L2" s="13" t="s">
        <v>40</v>
      </c>
    </row>
    <row r="3" spans="4:12" x14ac:dyDescent="0.25">
      <c r="D3" s="14" t="s">
        <v>32</v>
      </c>
      <c r="E3" s="15"/>
      <c r="F3" s="9" t="s">
        <v>34</v>
      </c>
      <c r="G3" s="9" t="s">
        <v>35</v>
      </c>
      <c r="H3" s="9" t="s">
        <v>34</v>
      </c>
      <c r="I3" s="9" t="s">
        <v>37</v>
      </c>
      <c r="J3" s="8" t="s">
        <v>38</v>
      </c>
      <c r="K3" s="8" t="s">
        <v>39</v>
      </c>
      <c r="L3" s="13"/>
    </row>
    <row r="4" spans="4:12" ht="20.25" thickBot="1" x14ac:dyDescent="0.45">
      <c r="D4" s="3" t="s">
        <v>0</v>
      </c>
      <c r="E4" s="4" t="s">
        <v>1</v>
      </c>
      <c r="F4" s="7">
        <v>10</v>
      </c>
      <c r="G4" s="7">
        <f>ROUNDUP(40/15*F4,0)</f>
        <v>27</v>
      </c>
      <c r="H4" s="7">
        <v>3.2</v>
      </c>
      <c r="I4" s="10">
        <f>H4*10</f>
        <v>32</v>
      </c>
      <c r="J4" s="12">
        <v>10</v>
      </c>
      <c r="K4">
        <v>10</v>
      </c>
      <c r="L4" s="7">
        <f>SUM(G4,I4,J4,K4)</f>
        <v>79</v>
      </c>
    </row>
    <row r="5" spans="4:12" ht="20.25" thickBot="1" x14ac:dyDescent="0.45">
      <c r="D5" s="1" t="s">
        <v>2</v>
      </c>
      <c r="E5" s="5" t="s">
        <v>3</v>
      </c>
      <c r="F5" s="7">
        <v>8</v>
      </c>
      <c r="G5" s="7">
        <f t="shared" ref="G5:G19" si="0">ROUNDUP(40/15*F5,0)</f>
        <v>22</v>
      </c>
      <c r="H5" s="7">
        <v>2</v>
      </c>
      <c r="I5" s="10">
        <f t="shared" ref="I5:I19" si="1">H5*10</f>
        <v>20</v>
      </c>
      <c r="J5" s="12">
        <v>10</v>
      </c>
      <c r="K5" s="11">
        <v>0</v>
      </c>
      <c r="L5" s="18">
        <f>SUM(G5,I5,J5,K5)</f>
        <v>52</v>
      </c>
    </row>
    <row r="6" spans="4:12" ht="19.5" customHeight="1" thickBot="1" x14ac:dyDescent="0.45">
      <c r="D6" s="1" t="s">
        <v>4</v>
      </c>
      <c r="E6" s="5" t="s">
        <v>5</v>
      </c>
      <c r="F6" s="7">
        <v>11</v>
      </c>
      <c r="G6" s="7">
        <f t="shared" si="0"/>
        <v>30</v>
      </c>
      <c r="H6" s="7">
        <v>2.4</v>
      </c>
      <c r="I6" s="10">
        <f t="shared" si="1"/>
        <v>24</v>
      </c>
      <c r="J6" s="12">
        <v>6</v>
      </c>
      <c r="K6" s="11">
        <v>6</v>
      </c>
      <c r="L6" s="7">
        <f t="shared" ref="L6:L19" si="2">SUM(G6,I6,J6,K6)</f>
        <v>66</v>
      </c>
    </row>
    <row r="7" spans="4:12" ht="20.25" thickBot="1" x14ac:dyDescent="0.45">
      <c r="D7" s="1" t="s">
        <v>6</v>
      </c>
      <c r="E7" s="5" t="s">
        <v>7</v>
      </c>
      <c r="F7" s="7">
        <v>10</v>
      </c>
      <c r="G7" s="7">
        <f t="shared" si="0"/>
        <v>27</v>
      </c>
      <c r="H7" s="7">
        <v>2.5</v>
      </c>
      <c r="I7" s="10">
        <f t="shared" si="1"/>
        <v>25</v>
      </c>
      <c r="J7" s="12">
        <v>5</v>
      </c>
      <c r="K7" s="11">
        <v>4</v>
      </c>
      <c r="L7" s="7">
        <f t="shared" si="2"/>
        <v>61</v>
      </c>
    </row>
    <row r="8" spans="4:12" ht="20.25" thickBot="1" x14ac:dyDescent="0.45">
      <c r="D8" s="1" t="s">
        <v>8</v>
      </c>
      <c r="E8" s="5" t="s">
        <v>9</v>
      </c>
      <c r="F8" s="7"/>
      <c r="G8" s="7">
        <f t="shared" si="0"/>
        <v>0</v>
      </c>
      <c r="H8" s="7"/>
      <c r="I8" s="10">
        <f t="shared" si="1"/>
        <v>0</v>
      </c>
      <c r="J8" s="12">
        <v>8</v>
      </c>
      <c r="K8" s="11">
        <v>0</v>
      </c>
      <c r="L8" s="7">
        <f t="shared" si="2"/>
        <v>8</v>
      </c>
    </row>
    <row r="9" spans="4:12" ht="20.25" thickBot="1" x14ac:dyDescent="0.45">
      <c r="D9" s="1" t="s">
        <v>10</v>
      </c>
      <c r="E9" s="5" t="s">
        <v>11</v>
      </c>
      <c r="F9" s="7">
        <v>15</v>
      </c>
      <c r="G9" s="7">
        <f t="shared" si="0"/>
        <v>40</v>
      </c>
      <c r="H9" s="7">
        <v>3.5</v>
      </c>
      <c r="I9" s="10">
        <f t="shared" si="1"/>
        <v>35</v>
      </c>
      <c r="J9" s="12">
        <v>10</v>
      </c>
      <c r="K9" s="11">
        <v>10</v>
      </c>
      <c r="L9" s="7">
        <f t="shared" si="2"/>
        <v>95</v>
      </c>
    </row>
    <row r="10" spans="4:12" ht="20.25" thickBot="1" x14ac:dyDescent="0.45">
      <c r="D10" s="1" t="s">
        <v>12</v>
      </c>
      <c r="E10" s="5" t="s">
        <v>13</v>
      </c>
      <c r="F10" s="7">
        <v>7</v>
      </c>
      <c r="G10" s="7">
        <f t="shared" si="0"/>
        <v>19</v>
      </c>
      <c r="H10" s="7">
        <v>2.5</v>
      </c>
      <c r="I10" s="10">
        <f t="shared" si="1"/>
        <v>25</v>
      </c>
      <c r="J10" s="12">
        <v>10</v>
      </c>
      <c r="K10" s="11">
        <v>10</v>
      </c>
      <c r="L10" s="7">
        <f t="shared" si="2"/>
        <v>64</v>
      </c>
    </row>
    <row r="11" spans="4:12" ht="20.25" thickBot="1" x14ac:dyDescent="0.45">
      <c r="D11" s="1" t="s">
        <v>14</v>
      </c>
      <c r="E11" s="5" t="s">
        <v>15</v>
      </c>
      <c r="F11" s="7"/>
      <c r="G11" s="7">
        <f t="shared" si="0"/>
        <v>0</v>
      </c>
      <c r="H11" s="7"/>
      <c r="I11" s="10">
        <f t="shared" si="1"/>
        <v>0</v>
      </c>
      <c r="J11" s="12">
        <v>7</v>
      </c>
      <c r="K11" s="11">
        <v>0</v>
      </c>
      <c r="L11" s="7">
        <f t="shared" si="2"/>
        <v>7</v>
      </c>
    </row>
    <row r="12" spans="4:12" ht="20.25" thickBot="1" x14ac:dyDescent="0.45">
      <c r="D12" s="1" t="s">
        <v>16</v>
      </c>
      <c r="E12" s="5" t="s">
        <v>17</v>
      </c>
      <c r="F12" s="7">
        <v>13</v>
      </c>
      <c r="G12" s="7">
        <f t="shared" si="0"/>
        <v>35</v>
      </c>
      <c r="H12" s="7">
        <v>3</v>
      </c>
      <c r="I12" s="10">
        <f t="shared" si="1"/>
        <v>30</v>
      </c>
      <c r="J12" s="12">
        <v>10</v>
      </c>
      <c r="K12" s="11">
        <v>10</v>
      </c>
      <c r="L12" s="7">
        <f t="shared" si="2"/>
        <v>85</v>
      </c>
    </row>
    <row r="13" spans="4:12" ht="20.25" thickBot="1" x14ac:dyDescent="0.3">
      <c r="D13" s="2" t="s">
        <v>18</v>
      </c>
      <c r="E13" s="6" t="s">
        <v>19</v>
      </c>
      <c r="F13" s="7">
        <v>7</v>
      </c>
      <c r="G13" s="7">
        <f t="shared" si="0"/>
        <v>19</v>
      </c>
      <c r="H13" s="7">
        <v>2.8</v>
      </c>
      <c r="I13" s="10">
        <f t="shared" si="1"/>
        <v>28</v>
      </c>
      <c r="J13" s="12">
        <v>10</v>
      </c>
      <c r="K13" s="11">
        <v>6</v>
      </c>
      <c r="L13" s="7">
        <f t="shared" si="2"/>
        <v>63</v>
      </c>
    </row>
    <row r="14" spans="4:12" ht="20.25" thickBot="1" x14ac:dyDescent="0.3">
      <c r="D14" s="2" t="s">
        <v>20</v>
      </c>
      <c r="E14" s="6" t="s">
        <v>21</v>
      </c>
      <c r="F14" s="7">
        <v>14</v>
      </c>
      <c r="G14" s="7">
        <f t="shared" si="0"/>
        <v>38</v>
      </c>
      <c r="H14" s="7">
        <v>4</v>
      </c>
      <c r="I14" s="10">
        <f t="shared" si="1"/>
        <v>40</v>
      </c>
      <c r="J14" s="12">
        <v>9</v>
      </c>
      <c r="K14" s="11">
        <v>10</v>
      </c>
      <c r="L14" s="7">
        <f t="shared" si="2"/>
        <v>97</v>
      </c>
    </row>
    <row r="15" spans="4:12" ht="20.25" thickBot="1" x14ac:dyDescent="0.3">
      <c r="D15" s="2" t="s">
        <v>22</v>
      </c>
      <c r="E15" s="6" t="s">
        <v>23</v>
      </c>
      <c r="F15" s="7"/>
      <c r="G15" s="7">
        <f t="shared" si="0"/>
        <v>0</v>
      </c>
      <c r="H15" s="7"/>
      <c r="I15" s="10">
        <f t="shared" si="1"/>
        <v>0</v>
      </c>
      <c r="J15" s="12">
        <v>10</v>
      </c>
      <c r="K15" s="11">
        <v>10</v>
      </c>
      <c r="L15" s="7">
        <f t="shared" si="2"/>
        <v>20</v>
      </c>
    </row>
    <row r="16" spans="4:12" ht="20.25" thickBot="1" x14ac:dyDescent="0.3">
      <c r="D16" s="2" t="s">
        <v>24</v>
      </c>
      <c r="E16" s="6" t="s">
        <v>25</v>
      </c>
      <c r="F16" s="7">
        <v>10</v>
      </c>
      <c r="G16" s="7">
        <f t="shared" si="0"/>
        <v>27</v>
      </c>
      <c r="H16" s="7">
        <v>2.5</v>
      </c>
      <c r="I16" s="10">
        <f t="shared" si="1"/>
        <v>25</v>
      </c>
      <c r="J16" s="12">
        <v>7</v>
      </c>
      <c r="K16" s="11">
        <v>3</v>
      </c>
      <c r="L16" s="7">
        <f t="shared" si="2"/>
        <v>62</v>
      </c>
    </row>
    <row r="17" spans="4:12" ht="20.25" thickBot="1" x14ac:dyDescent="0.3">
      <c r="D17" s="2" t="s">
        <v>26</v>
      </c>
      <c r="E17" s="6" t="s">
        <v>27</v>
      </c>
      <c r="F17" s="7">
        <v>11</v>
      </c>
      <c r="G17" s="7">
        <f t="shared" si="0"/>
        <v>30</v>
      </c>
      <c r="H17" s="7">
        <v>2.8</v>
      </c>
      <c r="I17" s="10">
        <f t="shared" si="1"/>
        <v>28</v>
      </c>
      <c r="J17" s="12">
        <v>10</v>
      </c>
      <c r="K17" s="11">
        <v>4</v>
      </c>
      <c r="L17" s="7">
        <f t="shared" si="2"/>
        <v>72</v>
      </c>
    </row>
    <row r="18" spans="4:12" ht="20.25" thickBot="1" x14ac:dyDescent="0.3">
      <c r="D18" s="2" t="s">
        <v>28</v>
      </c>
      <c r="E18" s="6" t="s">
        <v>29</v>
      </c>
      <c r="F18" s="7">
        <v>10</v>
      </c>
      <c r="G18" s="7">
        <f t="shared" si="0"/>
        <v>27</v>
      </c>
      <c r="H18" s="7">
        <v>1.8</v>
      </c>
      <c r="I18" s="10">
        <f t="shared" si="1"/>
        <v>18</v>
      </c>
      <c r="J18" s="12">
        <v>8</v>
      </c>
      <c r="K18" s="11">
        <v>8</v>
      </c>
      <c r="L18" s="7">
        <f t="shared" si="2"/>
        <v>61</v>
      </c>
    </row>
    <row r="19" spans="4:12" ht="20.25" thickBot="1" x14ac:dyDescent="0.45">
      <c r="D19" s="1" t="s">
        <v>30</v>
      </c>
      <c r="E19" s="5" t="s">
        <v>31</v>
      </c>
      <c r="F19" s="7"/>
      <c r="G19" s="7">
        <f t="shared" si="0"/>
        <v>0</v>
      </c>
      <c r="H19" s="7">
        <v>0</v>
      </c>
      <c r="I19" s="10">
        <f t="shared" si="1"/>
        <v>0</v>
      </c>
      <c r="J19" s="12">
        <v>9</v>
      </c>
      <c r="K19" s="11">
        <v>5</v>
      </c>
      <c r="L19" s="7">
        <f t="shared" si="2"/>
        <v>14</v>
      </c>
    </row>
  </sheetData>
  <mergeCells count="6">
    <mergeCell ref="L2:L3"/>
    <mergeCell ref="D3:E3"/>
    <mergeCell ref="F2:G2"/>
    <mergeCell ref="H2:I2"/>
    <mergeCell ref="D2:E2"/>
    <mergeCell ref="J2:K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Husan Ashirov</dc:creator>
  <cp:lastModifiedBy>maab king</cp:lastModifiedBy>
  <dcterms:created xsi:type="dcterms:W3CDTF">2015-06-05T18:17:20Z</dcterms:created>
  <dcterms:modified xsi:type="dcterms:W3CDTF">2024-12-24T11:23:21Z</dcterms:modified>
</cp:coreProperties>
</file>